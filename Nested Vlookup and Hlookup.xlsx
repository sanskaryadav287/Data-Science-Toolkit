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Sanskar Excel\"/>
    </mc:Choice>
  </mc:AlternateContent>
  <xr:revisionPtr revIDLastSave="0" documentId="13_ncr:1_{D2CDB1E5-E02C-42C2-A1D5-84972D5973FA}" xr6:coauthVersionLast="45" xr6:coauthVersionMax="45" xr10:uidLastSave="{00000000-0000-0000-0000-000000000000}"/>
  <bookViews>
    <workbookView xWindow="-120" yWindow="-120" windowWidth="29040" windowHeight="15840" xr2:uid="{BC21CB75-5F40-FC42-8E83-FE262998854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30" i="1" l="1"/>
  <c r="P29" i="1"/>
  <c r="P22" i="1"/>
  <c r="G27" i="1"/>
  <c r="K22" i="1"/>
</calcChain>
</file>

<file path=xl/sharedStrings.xml><?xml version="1.0" encoding="utf-8"?>
<sst xmlns="http://schemas.openxmlformats.org/spreadsheetml/2006/main" count="121" uniqueCount="63">
  <si>
    <t>TAGORE ACADEMY PUBLIC SCHOOL</t>
  </si>
  <si>
    <t xml:space="preserve">NAME </t>
  </si>
  <si>
    <t>GENDER</t>
  </si>
  <si>
    <t>AGE</t>
  </si>
  <si>
    <t>CLASS</t>
  </si>
  <si>
    <t>HOUSE</t>
  </si>
  <si>
    <t>UNIT TEST 1</t>
  </si>
  <si>
    <t>Abhimanyu</t>
  </si>
  <si>
    <t>Arjun</t>
  </si>
  <si>
    <t>Champa</t>
  </si>
  <si>
    <t>Gopal</t>
  </si>
  <si>
    <t>Gopi</t>
  </si>
  <si>
    <t>Hari</t>
  </si>
  <si>
    <t>Indu</t>
  </si>
  <si>
    <t>Keshav</t>
  </si>
  <si>
    <t>Lalita</t>
  </si>
  <si>
    <t>madhav</t>
  </si>
  <si>
    <t>Sudevi</t>
  </si>
  <si>
    <t>RNM</t>
  </si>
  <si>
    <t>Visakha</t>
  </si>
  <si>
    <t>Vrinda</t>
  </si>
  <si>
    <t>M</t>
  </si>
  <si>
    <t>F</t>
  </si>
  <si>
    <t>Bhoomi</t>
  </si>
  <si>
    <t>Vayu</t>
  </si>
  <si>
    <t>Agni</t>
  </si>
  <si>
    <t>Jal</t>
  </si>
  <si>
    <t>Bho    omi</t>
  </si>
  <si>
    <t xml:space="preserve">Jal  </t>
  </si>
  <si>
    <t>SUBJECT CODE</t>
  </si>
  <si>
    <t>SUBJECT NAME</t>
  </si>
  <si>
    <t>A</t>
  </si>
  <si>
    <t>B</t>
  </si>
  <si>
    <t>P1</t>
  </si>
  <si>
    <t>P2</t>
  </si>
  <si>
    <t>P3</t>
  </si>
  <si>
    <t>JAN</t>
  </si>
  <si>
    <t>FEB</t>
  </si>
  <si>
    <t>MAR</t>
  </si>
  <si>
    <t>APR</t>
  </si>
  <si>
    <t>SALES</t>
  </si>
  <si>
    <t>APPLE</t>
  </si>
  <si>
    <t>SAMSUNG</t>
  </si>
  <si>
    <t>REDMI</t>
  </si>
  <si>
    <t>English</t>
  </si>
  <si>
    <t>maths</t>
  </si>
  <si>
    <t>hindi</t>
  </si>
  <si>
    <t>sanskrit</t>
  </si>
  <si>
    <t>french</t>
  </si>
  <si>
    <t>MOBILE</t>
  </si>
  <si>
    <t>Name</t>
  </si>
  <si>
    <t>Sub name</t>
  </si>
  <si>
    <t>Nested VLOOKUP</t>
  </si>
  <si>
    <t>Nested HLOOKUP</t>
  </si>
  <si>
    <t>mobile</t>
  </si>
  <si>
    <t>sales</t>
  </si>
  <si>
    <t>Redmi</t>
  </si>
  <si>
    <t>nested vlookup</t>
  </si>
  <si>
    <t xml:space="preserve">Name </t>
  </si>
  <si>
    <t>Subject Name</t>
  </si>
  <si>
    <t>NESTED HLOOKUP</t>
  </si>
  <si>
    <t xml:space="preserve"> 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</si>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</sst>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FF0000"/>
      <name val="Algerian"/>
      <family val="5"/>
    </font>
    <font>
      <sz val="12"/>
      <color theme="1"/>
      <name val="Bahnschrift SemiBold"/>
      <family val="2"/>
    </font>
    <font>
      <sz val="12"/>
      <color theme="9"/>
      <name val="Arial Black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0" borderId="6" xfId="0" applyBorder="1"/>
    <xf numFmtId="0" fontId="0" fillId="0" borderId="7" xfId="0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2" fillId="2" borderId="1" xfId="0" applyFont="1" applyFill="1" applyBorder="1"/>
    <xf numFmtId="0" fontId="2" fillId="2" borderId="14" xfId="0" applyFont="1" applyFill="1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3" fillId="4" borderId="0" xfId="0" applyFont="1" applyFill="1"/>
    <xf numFmtId="0" fontId="0" fillId="2" borderId="2" xfId="0" applyFill="1" applyBorder="1" applyAlignment="1">
      <alignment horizontal="center"/>
    </xf>
    <xf numFmtId="0" fontId="3" fillId="6" borderId="0" xfId="0" applyFont="1" applyFill="1"/>
    <xf numFmtId="0" fontId="3" fillId="6" borderId="1" xfId="0" applyFont="1" applyFill="1" applyBorder="1"/>
    <xf numFmtId="0" fontId="5" fillId="0" borderId="0" xfId="0" applyFont="1"/>
    <xf numFmtId="0" fontId="4" fillId="6" borderId="1" xfId="0" applyFont="1" applyFill="1" applyBorder="1" applyAlignment="1">
      <alignment horizontal="center"/>
    </xf>
    <xf numFmtId="0" fontId="6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C8C58-C70B-9144-A5F5-C018B7E0E4E0}">
  <dimension ref="A1:R41"/>
  <sheetViews>
    <sheetView tabSelected="1" zoomScale="85" zoomScaleNormal="85" workbookViewId="0">
      <selection activeCell="N41" sqref="N41"/>
    </sheetView>
  </sheetViews>
  <sheetFormatPr defaultColWidth="11.25" defaultRowHeight="15.75" x14ac:dyDescent="0.25"/>
  <cols>
    <col min="1" max="1" width="14.75" customWidth="1"/>
    <col min="2" max="2" width="13.125" customWidth="1"/>
    <col min="7" max="7" width="13.125" bestFit="1" customWidth="1"/>
    <col min="9" max="9" width="13.125" customWidth="1"/>
    <col min="10" max="10" width="13.125" bestFit="1" customWidth="1"/>
    <col min="11" max="11" width="13.75" bestFit="1" customWidth="1"/>
    <col min="13" max="13" width="13.75" bestFit="1" customWidth="1"/>
    <col min="16" max="16" width="12.5" bestFit="1" customWidth="1"/>
  </cols>
  <sheetData>
    <row r="1" spans="1:18" x14ac:dyDescent="0.25">
      <c r="A1" s="28" t="s">
        <v>0</v>
      </c>
      <c r="B1" s="28"/>
      <c r="C1" s="28"/>
      <c r="D1" s="28"/>
      <c r="E1" s="28"/>
      <c r="F1" s="28"/>
      <c r="G1" s="28"/>
      <c r="H1" s="28"/>
    </row>
    <row r="2" spans="1:18" x14ac:dyDescent="0.25">
      <c r="A2" s="28"/>
      <c r="B2" s="28"/>
      <c r="C2" s="28"/>
      <c r="D2" s="28"/>
      <c r="E2" s="28"/>
      <c r="F2" s="28"/>
      <c r="G2" s="28"/>
      <c r="H2" s="28"/>
    </row>
    <row r="3" spans="1:18" x14ac:dyDescent="0.25">
      <c r="A3" s="15" t="s">
        <v>1</v>
      </c>
      <c r="B3" s="15" t="s">
        <v>2</v>
      </c>
      <c r="C3" s="15" t="s">
        <v>3</v>
      </c>
      <c r="D3" s="15" t="s">
        <v>4</v>
      </c>
      <c r="E3" s="15" t="s">
        <v>5</v>
      </c>
      <c r="F3" s="15" t="s">
        <v>6</v>
      </c>
      <c r="G3" s="16" t="s">
        <v>29</v>
      </c>
      <c r="H3" s="15" t="s">
        <v>49</v>
      </c>
      <c r="J3" s="21" t="s">
        <v>29</v>
      </c>
      <c r="K3" s="21" t="s">
        <v>30</v>
      </c>
    </row>
    <row r="4" spans="1:18" x14ac:dyDescent="0.25">
      <c r="A4" s="1" t="s">
        <v>7</v>
      </c>
      <c r="B4" s="1" t="s">
        <v>21</v>
      </c>
      <c r="C4" s="1">
        <v>16</v>
      </c>
      <c r="D4" s="1">
        <v>10</v>
      </c>
      <c r="E4" s="1" t="s">
        <v>23</v>
      </c>
      <c r="F4" s="1">
        <v>84</v>
      </c>
      <c r="G4" s="1">
        <v>1</v>
      </c>
      <c r="H4" s="2" t="s">
        <v>41</v>
      </c>
      <c r="J4" s="17">
        <v>1</v>
      </c>
      <c r="K4" s="17" t="s">
        <v>44</v>
      </c>
      <c r="M4" s="18" t="s">
        <v>29</v>
      </c>
      <c r="N4" s="1">
        <v>1</v>
      </c>
      <c r="O4" s="1">
        <v>2</v>
      </c>
      <c r="P4" s="1">
        <v>3</v>
      </c>
      <c r="Q4" s="1">
        <v>4</v>
      </c>
      <c r="R4" s="1">
        <v>5</v>
      </c>
    </row>
    <row r="5" spans="1:18" x14ac:dyDescent="0.25">
      <c r="A5" s="1" t="s">
        <v>8</v>
      </c>
      <c r="B5" s="1" t="s">
        <v>21</v>
      </c>
      <c r="C5" s="1">
        <v>11</v>
      </c>
      <c r="D5" s="1">
        <v>5</v>
      </c>
      <c r="E5" s="1" t="s">
        <v>24</v>
      </c>
      <c r="F5" s="1">
        <v>82</v>
      </c>
      <c r="G5" s="1">
        <v>2</v>
      </c>
      <c r="H5" s="19" t="s">
        <v>42</v>
      </c>
      <c r="J5" s="17">
        <v>2</v>
      </c>
      <c r="K5" s="17" t="s">
        <v>45</v>
      </c>
      <c r="M5" s="18" t="s">
        <v>30</v>
      </c>
      <c r="N5" s="17" t="s">
        <v>44</v>
      </c>
      <c r="O5" s="17" t="s">
        <v>45</v>
      </c>
      <c r="P5" s="17" t="s">
        <v>46</v>
      </c>
      <c r="Q5" s="17" t="s">
        <v>47</v>
      </c>
      <c r="R5" s="17" t="s">
        <v>48</v>
      </c>
    </row>
    <row r="6" spans="1:18" x14ac:dyDescent="0.25">
      <c r="A6" s="1" t="s">
        <v>9</v>
      </c>
      <c r="B6" s="1" t="s">
        <v>22</v>
      </c>
      <c r="C6" s="1">
        <v>15</v>
      </c>
      <c r="D6" s="1">
        <v>8</v>
      </c>
      <c r="E6" s="1" t="s">
        <v>26</v>
      </c>
      <c r="F6" s="1">
        <v>81</v>
      </c>
      <c r="G6" s="1">
        <v>3</v>
      </c>
      <c r="H6" s="19" t="s">
        <v>42</v>
      </c>
      <c r="J6" s="17">
        <v>3</v>
      </c>
      <c r="K6" s="17" t="s">
        <v>46</v>
      </c>
    </row>
    <row r="7" spans="1:18" x14ac:dyDescent="0.25">
      <c r="A7" s="1" t="s">
        <v>10</v>
      </c>
      <c r="B7" s="1" t="s">
        <v>21</v>
      </c>
      <c r="C7" s="1">
        <v>14</v>
      </c>
      <c r="D7" s="1">
        <v>8</v>
      </c>
      <c r="E7" s="1" t="s">
        <v>23</v>
      </c>
      <c r="F7" s="1">
        <v>70</v>
      </c>
      <c r="G7" s="1">
        <v>4</v>
      </c>
      <c r="H7" s="2" t="s">
        <v>43</v>
      </c>
      <c r="J7" s="17">
        <v>4</v>
      </c>
      <c r="K7" s="17" t="s">
        <v>47</v>
      </c>
    </row>
    <row r="8" spans="1:18" x14ac:dyDescent="0.25">
      <c r="A8" s="1" t="s">
        <v>11</v>
      </c>
      <c r="B8" s="1" t="s">
        <v>22</v>
      </c>
      <c r="C8" s="1">
        <v>16</v>
      </c>
      <c r="D8" s="1">
        <v>10</v>
      </c>
      <c r="E8" s="1" t="s">
        <v>25</v>
      </c>
      <c r="F8" s="1">
        <v>88</v>
      </c>
      <c r="G8" s="1">
        <v>5</v>
      </c>
      <c r="H8" s="19" t="s">
        <v>42</v>
      </c>
      <c r="J8" s="17">
        <v>5</v>
      </c>
      <c r="K8" s="17" t="s">
        <v>48</v>
      </c>
    </row>
    <row r="9" spans="1:18" x14ac:dyDescent="0.25">
      <c r="A9" s="1" t="s">
        <v>12</v>
      </c>
      <c r="B9" s="1" t="s">
        <v>21</v>
      </c>
      <c r="C9" s="1">
        <v>16</v>
      </c>
      <c r="D9" s="1">
        <v>10</v>
      </c>
      <c r="E9" s="1" t="s">
        <v>27</v>
      </c>
      <c r="F9" s="1">
        <v>82</v>
      </c>
      <c r="G9" s="1">
        <v>6</v>
      </c>
      <c r="H9" s="2" t="s">
        <v>41</v>
      </c>
      <c r="J9" s="17">
        <v>6</v>
      </c>
      <c r="K9" s="17" t="s">
        <v>32</v>
      </c>
    </row>
    <row r="10" spans="1:18" x14ac:dyDescent="0.25">
      <c r="A10" s="1" t="s">
        <v>13</v>
      </c>
      <c r="B10" s="1" t="s">
        <v>22</v>
      </c>
      <c r="C10" s="1">
        <v>14</v>
      </c>
      <c r="D10" s="1">
        <v>8</v>
      </c>
      <c r="E10" s="1" t="s">
        <v>24</v>
      </c>
      <c r="F10" s="1">
        <v>9</v>
      </c>
      <c r="G10" s="1">
        <v>7</v>
      </c>
      <c r="H10" s="19" t="s">
        <v>42</v>
      </c>
      <c r="J10" s="17">
        <v>7</v>
      </c>
      <c r="K10" s="17" t="s">
        <v>31</v>
      </c>
    </row>
    <row r="11" spans="1:18" x14ac:dyDescent="0.25">
      <c r="A11" s="1" t="s">
        <v>14</v>
      </c>
      <c r="B11" s="1" t="s">
        <v>21</v>
      </c>
      <c r="C11" s="1">
        <v>15</v>
      </c>
      <c r="D11" s="1">
        <v>9</v>
      </c>
      <c r="E11" s="1" t="s">
        <v>25</v>
      </c>
      <c r="F11" s="1">
        <v>87</v>
      </c>
      <c r="G11" s="1">
        <v>8</v>
      </c>
      <c r="H11" s="2" t="s">
        <v>41</v>
      </c>
      <c r="J11" s="17">
        <v>8</v>
      </c>
      <c r="K11" s="17" t="s">
        <v>32</v>
      </c>
    </row>
    <row r="12" spans="1:18" x14ac:dyDescent="0.25">
      <c r="A12" s="1" t="s">
        <v>15</v>
      </c>
      <c r="B12" s="1" t="s">
        <v>22</v>
      </c>
      <c r="C12" s="1">
        <v>17</v>
      </c>
      <c r="D12" s="1">
        <v>10</v>
      </c>
      <c r="E12" s="1" t="s">
        <v>24</v>
      </c>
      <c r="F12" s="1">
        <v>70</v>
      </c>
      <c r="G12" s="1">
        <v>9</v>
      </c>
      <c r="H12" s="2" t="s">
        <v>43</v>
      </c>
      <c r="J12" s="17">
        <v>9</v>
      </c>
      <c r="K12" s="17" t="s">
        <v>31</v>
      </c>
    </row>
    <row r="13" spans="1:18" x14ac:dyDescent="0.25">
      <c r="A13" s="1" t="s">
        <v>16</v>
      </c>
      <c r="B13" s="1" t="s">
        <v>21</v>
      </c>
      <c r="C13" s="1">
        <v>12</v>
      </c>
      <c r="D13" s="1">
        <v>7</v>
      </c>
      <c r="E13" s="1" t="s">
        <v>28</v>
      </c>
      <c r="F13" s="1">
        <v>86</v>
      </c>
      <c r="G13" s="1">
        <v>10</v>
      </c>
      <c r="H13" s="19" t="s">
        <v>42</v>
      </c>
      <c r="J13" s="17">
        <v>10</v>
      </c>
      <c r="K13" s="17" t="s">
        <v>32</v>
      </c>
    </row>
    <row r="14" spans="1:18" x14ac:dyDescent="0.25">
      <c r="A14" s="1" t="s">
        <v>18</v>
      </c>
      <c r="B14" s="1" t="s">
        <v>21</v>
      </c>
      <c r="C14" s="1">
        <v>16</v>
      </c>
      <c r="D14" s="1">
        <v>10</v>
      </c>
      <c r="E14" s="1" t="s">
        <v>25</v>
      </c>
      <c r="F14" s="1">
        <v>86</v>
      </c>
      <c r="G14" s="1">
        <v>11</v>
      </c>
      <c r="H14" s="2" t="s">
        <v>41</v>
      </c>
      <c r="J14" s="17">
        <v>11</v>
      </c>
      <c r="K14" s="17" t="s">
        <v>31</v>
      </c>
    </row>
    <row r="15" spans="1:18" x14ac:dyDescent="0.25">
      <c r="A15" s="1" t="s">
        <v>17</v>
      </c>
      <c r="B15" s="1" t="s">
        <v>22</v>
      </c>
      <c r="C15" s="1">
        <v>16</v>
      </c>
      <c r="D15" s="1">
        <v>10</v>
      </c>
      <c r="E15" s="1" t="s">
        <v>26</v>
      </c>
      <c r="F15" s="1">
        <v>81</v>
      </c>
      <c r="G15" s="1">
        <v>12</v>
      </c>
      <c r="H15" s="2" t="s">
        <v>43</v>
      </c>
      <c r="J15" s="17">
        <v>12</v>
      </c>
      <c r="K15" s="17" t="s">
        <v>32</v>
      </c>
    </row>
    <row r="16" spans="1:18" x14ac:dyDescent="0.25">
      <c r="A16" s="1" t="s">
        <v>19</v>
      </c>
      <c r="B16" s="1" t="s">
        <v>22</v>
      </c>
      <c r="C16" s="1">
        <v>16</v>
      </c>
      <c r="D16" s="1">
        <v>10</v>
      </c>
      <c r="E16" s="1" t="s">
        <v>23</v>
      </c>
      <c r="F16" s="1">
        <v>70</v>
      </c>
      <c r="G16" s="1">
        <v>13</v>
      </c>
      <c r="H16" s="2" t="s">
        <v>41</v>
      </c>
      <c r="J16" s="17">
        <v>13</v>
      </c>
      <c r="K16" s="17" t="s">
        <v>31</v>
      </c>
    </row>
    <row r="17" spans="1:16" x14ac:dyDescent="0.25">
      <c r="A17" s="1" t="s">
        <v>20</v>
      </c>
      <c r="B17" s="1" t="s">
        <v>22</v>
      </c>
      <c r="C17" s="1">
        <v>14</v>
      </c>
      <c r="D17" s="1">
        <v>8</v>
      </c>
      <c r="E17" s="1" t="s">
        <v>25</v>
      </c>
      <c r="F17" s="1">
        <v>91</v>
      </c>
      <c r="G17" s="1">
        <v>14</v>
      </c>
      <c r="H17" s="2" t="s">
        <v>43</v>
      </c>
      <c r="J17" s="17">
        <v>14</v>
      </c>
      <c r="K17" s="17" t="s">
        <v>32</v>
      </c>
    </row>
    <row r="19" spans="1:16" ht="16.5" thickBot="1" x14ac:dyDescent="0.3"/>
    <row r="20" spans="1:16" ht="18" thickBot="1" x14ac:dyDescent="0.35">
      <c r="A20" s="4" t="s">
        <v>40</v>
      </c>
      <c r="B20" s="5" t="s">
        <v>33</v>
      </c>
      <c r="C20" s="5" t="s">
        <v>34</v>
      </c>
      <c r="D20" s="6" t="s">
        <v>35</v>
      </c>
      <c r="J20" s="29" t="s">
        <v>52</v>
      </c>
      <c r="K20" s="29"/>
      <c r="O20" s="25" t="s">
        <v>57</v>
      </c>
      <c r="P20" s="25"/>
    </row>
    <row r="21" spans="1:16" x14ac:dyDescent="0.25">
      <c r="A21" s="9" t="s">
        <v>36</v>
      </c>
      <c r="B21" s="7">
        <v>12</v>
      </c>
      <c r="C21" s="3">
        <v>23</v>
      </c>
      <c r="D21" s="3">
        <v>44</v>
      </c>
      <c r="J21" s="20" t="s">
        <v>50</v>
      </c>
      <c r="K21" s="20" t="s">
        <v>51</v>
      </c>
      <c r="O21" s="23" t="s">
        <v>58</v>
      </c>
      <c r="P21" s="23" t="s">
        <v>59</v>
      </c>
    </row>
    <row r="22" spans="1:16" x14ac:dyDescent="0.25">
      <c r="A22" s="10" t="s">
        <v>37</v>
      </c>
      <c r="B22" s="8">
        <v>13</v>
      </c>
      <c r="C22" s="1">
        <v>23</v>
      </c>
      <c r="D22" s="1">
        <v>33</v>
      </c>
      <c r="J22" s="1" t="s">
        <v>11</v>
      </c>
      <c r="K22" t="str">
        <f>VLOOKUP(VLOOKUP(J22,A3:H17,7,0),J4:K17,2,0)</f>
        <v>french</v>
      </c>
      <c r="O22" s="1" t="s">
        <v>11</v>
      </c>
      <c r="P22" s="1" t="str">
        <f>VLOOKUP(VLOOKUP(O22,A3:H17,7,0),J3:K17,2,)</f>
        <v>french</v>
      </c>
    </row>
    <row r="23" spans="1:16" x14ac:dyDescent="0.25">
      <c r="A23" s="10" t="s">
        <v>38</v>
      </c>
      <c r="B23" s="8">
        <v>33</v>
      </c>
      <c r="C23" s="1">
        <v>22</v>
      </c>
      <c r="D23" s="1">
        <v>3</v>
      </c>
    </row>
    <row r="24" spans="1:16" ht="16.5" thickBot="1" x14ac:dyDescent="0.3">
      <c r="A24" s="11" t="s">
        <v>39</v>
      </c>
      <c r="B24" s="8">
        <v>22</v>
      </c>
      <c r="C24" s="1">
        <v>33</v>
      </c>
      <c r="D24" s="1">
        <v>22</v>
      </c>
    </row>
    <row r="25" spans="1:16" x14ac:dyDescent="0.25">
      <c r="F25" s="29" t="s">
        <v>53</v>
      </c>
      <c r="G25" s="29"/>
    </row>
    <row r="26" spans="1:16" x14ac:dyDescent="0.25">
      <c r="A26" s="2" t="s">
        <v>41</v>
      </c>
      <c r="B26" s="19" t="s">
        <v>42</v>
      </c>
      <c r="C26" s="2" t="s">
        <v>43</v>
      </c>
      <c r="F26" s="22" t="s">
        <v>54</v>
      </c>
      <c r="G26" s="22" t="s">
        <v>55</v>
      </c>
    </row>
    <row r="27" spans="1:16" ht="20.25" thickBot="1" x14ac:dyDescent="0.45">
      <c r="A27" s="12" t="s">
        <v>33</v>
      </c>
      <c r="B27" s="13" t="s">
        <v>34</v>
      </c>
      <c r="C27" s="14" t="s">
        <v>35</v>
      </c>
      <c r="F27" s="1" t="s">
        <v>56</v>
      </c>
      <c r="G27">
        <f>HLOOKUP(HLOOKUP(F27,A26:C27,2,0),A20:D24,4,0)</f>
        <v>3</v>
      </c>
      <c r="O27" s="26" t="s">
        <v>60</v>
      </c>
      <c r="P27" s="27"/>
    </row>
    <row r="28" spans="1:16" x14ac:dyDescent="0.25">
      <c r="O28" s="24" t="s">
        <v>49</v>
      </c>
      <c r="P28" s="24" t="s">
        <v>40</v>
      </c>
    </row>
    <row r="29" spans="1:16" x14ac:dyDescent="0.25">
      <c r="O29" t="s">
        <v>41</v>
      </c>
      <c r="P29">
        <f>HLOOKUP(HLOOKUP(O29,A26:C27,2,0),A20:D24,2,0)</f>
        <v>12</v>
      </c>
    </row>
    <row r="30" spans="1:16" x14ac:dyDescent="0.25">
      <c r="O30" t="s">
        <v>42</v>
      </c>
      <c r="P30">
        <f>HLOOKUP(HLOOKUP(O30,A26:C27,2,0),A20:D25,4,0)</f>
        <v>22</v>
      </c>
    </row>
    <row r="31" spans="1:16" x14ac:dyDescent="0.25">
      <c r="P31" t="s">
        <v>61</v>
      </c>
    </row>
    <row r="41" spans="14:14" x14ac:dyDescent="0.25">
      <c r="N41" t="s">
        <v>62</v>
      </c>
    </row>
  </sheetData>
  <mergeCells count="5">
    <mergeCell ref="O20:P20"/>
    <mergeCell ref="O27:P27"/>
    <mergeCell ref="A1:H2"/>
    <mergeCell ref="J20:K20"/>
    <mergeCell ref="F25:G25"/>
  </mergeCells>
  <phoneticPr fontId="1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HP</cp:lastModifiedBy>
  <dcterms:created xsi:type="dcterms:W3CDTF">2025-08-29T03:25:50Z</dcterms:created>
  <dcterms:modified xsi:type="dcterms:W3CDTF">2025-10-29T07:30:26Z</dcterms:modified>
</cp:coreProperties>
</file>